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FI Questions" sheetId="2" r:id="rId5"/>
    <sheet state="visible" name="RFI " sheetId="3" r:id="rId6"/>
    <sheet state="visible" name="Project Costing 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We are focusing on CRM in phase I , call center is not in scope
	-Jeewana Premarathne</t>
      </text>
    </comment>
  </commentList>
</comments>
</file>

<file path=xl/sharedStrings.xml><?xml version="1.0" encoding="utf-8"?>
<sst xmlns="http://schemas.openxmlformats.org/spreadsheetml/2006/main" count="182" uniqueCount="130">
  <si>
    <t xml:space="preserve">Why we shouldn't miss the opportunity </t>
  </si>
  <si>
    <t>Influence from Nadeeka/CEO level relationship</t>
  </si>
  <si>
    <t>Engineering (Gayan) and Fintech Domain (Prabodha) Experience we have</t>
  </si>
  <si>
    <t xml:space="preserve">We have to solve a general problem (CRM) not a very complex problem </t>
  </si>
  <si>
    <t xml:space="preserve">Product engineering (either own CRM or Open Source) has become simplified with AI </t>
  </si>
  <si>
    <t xml:space="preserve">Challenges </t>
  </si>
  <si>
    <t xml:space="preserve">Founders have to carry some operational burden at the begining </t>
  </si>
  <si>
    <t>Finding the right SME in CRM domain</t>
  </si>
  <si>
    <t>Option 1 — Build the system yourself (Intellect develops the full solution)</t>
  </si>
  <si>
    <t>Pros</t>
  </si>
  <si>
    <t>No dependency risk on an external vendor.</t>
  </si>
  <si>
    <t>Better customer trust: Siyapatha knows they are dealing directly with Intellect.</t>
  </si>
  <si>
    <t>Enables future productisation → can sell the same CRM to other NBFIs.</t>
  </si>
  <si>
    <t>Higher profitability long-term (implementation + support + enhancements).</t>
  </si>
  <si>
    <t>Full control of the architecture, quality, timelines, and customer experience.</t>
  </si>
  <si>
    <t xml:space="preserve">Cons </t>
  </si>
  <si>
    <t>Highest resource commitment (BA, PM, Devs, QA, Integrations)</t>
  </si>
  <si>
    <t>Delivery Risk is with Intellect</t>
  </si>
  <si>
    <t>Option 2 — White-Label a Partner’s CRM but Deliver as Intellect</t>
  </si>
  <si>
    <t>System already exists, proven, and used by real customers.</t>
  </si>
  <si>
    <t>Intellect owns the client relationship</t>
  </si>
  <si>
    <t>Lower risk &amp; lower engineering load</t>
  </si>
  <si>
    <t>Cons</t>
  </si>
  <si>
    <t>You are dependent on the partner’s capability</t>
  </si>
  <si>
    <t>Lower long-term value than owning our own product</t>
  </si>
  <si>
    <t xml:space="preserve">Lower profitability </t>
  </si>
  <si>
    <t>Option 3-Consortium / Tri-party Agreement (Intellect + Partner + Customer)</t>
  </si>
  <si>
    <t xml:space="preserve">Pros </t>
  </si>
  <si>
    <t xml:space="preserve">Risk is shared </t>
  </si>
  <si>
    <t>Good for complex projects (call centre + CRM etc)</t>
  </si>
  <si>
    <t>Complicate governance</t>
  </si>
  <si>
    <t>Decision making is slow</t>
  </si>
  <si>
    <t xml:space="preserve">Option 1 - Way Forward </t>
  </si>
  <si>
    <t xml:space="preserve">Build on based on an existing framework like suite CRM </t>
  </si>
  <si>
    <t>Solution Overview /Feature Diagram /SRS</t>
  </si>
  <si>
    <t xml:space="preserve">Caculate the effort required to develop a basic product /MVP for a NBFI </t>
  </si>
  <si>
    <t xml:space="preserve">Questions to the Business </t>
  </si>
  <si>
    <t xml:space="preserve">Current nature and use of Iphonik System </t>
  </si>
  <si>
    <t xml:space="preserve">Current Business Process </t>
  </si>
  <si>
    <t xml:space="preserve">How many officers /working hours </t>
  </si>
  <si>
    <t xml:space="preserve">What is manual /What is handled using Iphonik </t>
  </si>
  <si>
    <t>Is call center centralized / Head office only or Island Wide</t>
  </si>
  <si>
    <t>How does call center users are getting customer information/ 360 view as of now</t>
  </si>
  <si>
    <t xml:space="preserve">What are the other business cases in CRM </t>
  </si>
  <si>
    <t>Problem Statement</t>
  </si>
  <si>
    <t>Who are the users</t>
  </si>
  <si>
    <t>Volume</t>
  </si>
  <si>
    <t>Data Sources and readiness</t>
  </si>
  <si>
    <t>S/N</t>
  </si>
  <si>
    <t>Name</t>
  </si>
  <si>
    <t>Track</t>
  </si>
  <si>
    <t>Primary Owner</t>
  </si>
  <si>
    <t>Action items</t>
  </si>
  <si>
    <t>Deadline</t>
  </si>
  <si>
    <t>Reviewer</t>
  </si>
  <si>
    <t>Status</t>
  </si>
  <si>
    <t>Introduction</t>
  </si>
  <si>
    <t>Praboadha</t>
  </si>
  <si>
    <t>Jeewana to review</t>
  </si>
  <si>
    <t>Jeewana</t>
  </si>
  <si>
    <t>07/12/25 : Ready to Review</t>
  </si>
  <si>
    <t xml:space="preserve">Executive Summary </t>
  </si>
  <si>
    <t>Poposal Solution Overview</t>
  </si>
  <si>
    <t>Prabodha to complete the draft</t>
  </si>
  <si>
    <t>TDB</t>
  </si>
  <si>
    <t xml:space="preserve">07/12/25 : 
- CRM Platform - Ready to Review
- Call Center Platform - Draft
- Integration &amp; Anallytics - Draft </t>
  </si>
  <si>
    <t xml:space="preserve">Detailed Functional Capabilities </t>
  </si>
  <si>
    <t>Praboadha/ Gayan</t>
  </si>
  <si>
    <t>Praboadha/ Gayan/ Jeewana to have a meeting to finalise - 12/8/25 DL
- Collect each major module functional scope (Damith to provide managers for meetings) - 15/12/2025</t>
  </si>
  <si>
    <t>07/12/25 : 
- Lead Management - Ready to review
- Customer 360' review - Ready to review
- Complaint &amp; Case Management - Ready to Review
- Call Center Capabilities - Ready to Review
- Omnichannel Communication - Ready to Review</t>
  </si>
  <si>
    <t>System Architecture</t>
  </si>
  <si>
    <t>Tech</t>
  </si>
  <si>
    <t>Gayan + Dev</t>
  </si>
  <si>
    <t>- Dev's NDA
- Gayan should work with Dev</t>
  </si>
  <si>
    <t>07/12/25 : Content structure is there, this need to changed the core modules based on SuiteCRM</t>
  </si>
  <si>
    <t xml:space="preserve">Integration Architecture </t>
  </si>
  <si>
    <t xml:space="preserve">07/12/25: Consider integration with CoreBanking Finacle </t>
  </si>
  <si>
    <t>Reporting Analytics</t>
  </si>
  <si>
    <t>Gayan</t>
  </si>
  <si>
    <t xml:space="preserve">07/12/25: 
- Ready to review
</t>
  </si>
  <si>
    <t>Non-Function Requirement</t>
  </si>
  <si>
    <t>Gayan to complete</t>
  </si>
  <si>
    <t>07/12/25: draft</t>
  </si>
  <si>
    <t>Implemetation Approach &amp; Timeline</t>
  </si>
  <si>
    <t>Praboadha/ Gayan/ Jeewana to have a meeting</t>
  </si>
  <si>
    <t>Support and Maintainance Model</t>
  </si>
  <si>
    <t>Value Added Enhancement &amp; Road</t>
  </si>
  <si>
    <t>Compliance Statements</t>
  </si>
  <si>
    <t>07/12/25: ready to review</t>
  </si>
  <si>
    <t>Assumptions &amp; Dependencies</t>
  </si>
  <si>
    <t xml:space="preserve">Pricing Strutctre and Commercials </t>
  </si>
  <si>
    <t>Praboadha/ Gayan/ Jeewana</t>
  </si>
  <si>
    <t>Terms &amp; Conditions</t>
  </si>
  <si>
    <t>Appendix &amp; Document Attachment</t>
  </si>
  <si>
    <t xml:space="preserve">Critical items </t>
  </si>
  <si>
    <t>Praboadha/ Gayan/ Jeewana to have a meeting to finalise functional scope</t>
  </si>
  <si>
    <t>Dev's NDA</t>
  </si>
  <si>
    <t>Key Gaps</t>
  </si>
  <si>
    <t>State of Call Center Operation, do we need have a new one?</t>
  </si>
  <si>
    <t xml:space="preserve">Amount of data Client is willing to expose to CRM in order store inside CRM or as APIs wise </t>
  </si>
  <si>
    <t xml:space="preserve">Amount of staff that in Org Chart that going engage </t>
  </si>
  <si>
    <t xml:space="preserve">Number of branches and accepted Pilot group size </t>
  </si>
  <si>
    <t>In order train staff what platforms will be available</t>
  </si>
  <si>
    <t xml:space="preserve">Number of organisational devices given (type of device/ OS/ Internet accessiblity) </t>
  </si>
  <si>
    <t xml:space="preserve">Identity and Access management </t>
  </si>
  <si>
    <t xml:space="preserve">Process level change implementation and management </t>
  </si>
  <si>
    <t>17th December 2025</t>
  </si>
  <si>
    <t>Submission</t>
  </si>
  <si>
    <t>15th December 2025</t>
  </si>
  <si>
    <t>Final review round</t>
  </si>
  <si>
    <t>13th December 2025</t>
  </si>
  <si>
    <t>12th December 2025</t>
  </si>
  <si>
    <t xml:space="preserve">All technical chapters doucmentation completion </t>
  </si>
  <si>
    <t>10th December 2025</t>
  </si>
  <si>
    <r>
      <rPr>
        <rFont val="Arial"/>
        <color theme="1"/>
      </rPr>
      <t xml:space="preserve">All technical chapters </t>
    </r>
    <r>
      <rPr>
        <rFont val="Arial"/>
        <b/>
        <color theme="1"/>
      </rPr>
      <t>draft</t>
    </r>
    <r>
      <rPr>
        <rFont val="Arial"/>
        <color theme="1"/>
      </rPr>
      <t xml:space="preserve"> doucmentation completion </t>
    </r>
  </si>
  <si>
    <t>8th December 2025</t>
  </si>
  <si>
    <t xml:space="preserve">Resource </t>
  </si>
  <si>
    <t xml:space="preserve">Duration </t>
  </si>
  <si>
    <t xml:space="preserve">CTC </t>
  </si>
  <si>
    <t xml:space="preserve">Utilization </t>
  </si>
  <si>
    <t xml:space="preserve">Cost </t>
  </si>
  <si>
    <t>Project Manager</t>
  </si>
  <si>
    <t>Tech Lead</t>
  </si>
  <si>
    <t>Engineer</t>
  </si>
  <si>
    <t>BA</t>
  </si>
  <si>
    <t>QA</t>
  </si>
  <si>
    <t>Other Cost</t>
  </si>
  <si>
    <t>Suite CRM Support Package</t>
  </si>
  <si>
    <t>Hosting-Test Environment</t>
  </si>
  <si>
    <t>Contingency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</si>
</sst>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vertical="top"/>
    </xf>
    <xf borderId="1" fillId="2" fontId="4" numFmtId="0" xfId="0" applyAlignment="1" applyBorder="1" applyFill="1" applyFont="1">
      <alignment readingOrder="0" vertical="top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0" fontId="4" numFmtId="3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48</xdr:row>
      <xdr:rowOff>0</xdr:rowOff>
    </xdr:from>
    <xdr:ext cx="4876800" cy="2828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1"/>
    </row>
    <row r="8">
      <c r="A8" s="1" t="s">
        <v>5</v>
      </c>
    </row>
    <row r="9">
      <c r="A9" s="2" t="s">
        <v>6</v>
      </c>
    </row>
    <row r="10">
      <c r="A10" s="2" t="s">
        <v>7</v>
      </c>
    </row>
    <row r="11">
      <c r="A11" s="1"/>
    </row>
    <row r="12">
      <c r="A12" s="1"/>
    </row>
    <row r="13">
      <c r="A13" s="1" t="s">
        <v>8</v>
      </c>
    </row>
    <row r="15">
      <c r="A15" s="3" t="s">
        <v>9</v>
      </c>
    </row>
    <row r="16">
      <c r="A16" s="4" t="s">
        <v>10</v>
      </c>
    </row>
    <row r="17">
      <c r="A17" s="4" t="s">
        <v>11</v>
      </c>
    </row>
    <row r="18">
      <c r="A18" s="4" t="s">
        <v>12</v>
      </c>
      <c r="J18" s="5"/>
    </row>
    <row r="19">
      <c r="A19" s="4" t="s">
        <v>13</v>
      </c>
    </row>
    <row r="20">
      <c r="A20" s="4" t="s">
        <v>14</v>
      </c>
    </row>
    <row r="22">
      <c r="A22" s="3" t="s">
        <v>15</v>
      </c>
    </row>
    <row r="23">
      <c r="A23" s="4" t="s">
        <v>16</v>
      </c>
    </row>
    <row r="24">
      <c r="A24" s="4" t="s">
        <v>17</v>
      </c>
    </row>
    <row r="26">
      <c r="A26" s="1" t="s">
        <v>18</v>
      </c>
    </row>
    <row r="28">
      <c r="A28" s="3" t="s">
        <v>9</v>
      </c>
    </row>
    <row r="29">
      <c r="A29" s="4" t="s">
        <v>19</v>
      </c>
    </row>
    <row r="30">
      <c r="A30" s="4" t="s">
        <v>20</v>
      </c>
    </row>
    <row r="31">
      <c r="A31" s="4" t="s">
        <v>21</v>
      </c>
    </row>
    <row r="33">
      <c r="A33" s="3" t="s">
        <v>22</v>
      </c>
    </row>
    <row r="34">
      <c r="A34" s="4" t="s">
        <v>23</v>
      </c>
    </row>
    <row r="35">
      <c r="A35" s="4" t="s">
        <v>24</v>
      </c>
    </row>
    <row r="36">
      <c r="A36" s="4" t="s">
        <v>25</v>
      </c>
    </row>
    <row r="38">
      <c r="A38" s="1" t="s">
        <v>26</v>
      </c>
    </row>
    <row r="40">
      <c r="A40" s="3" t="s">
        <v>27</v>
      </c>
    </row>
    <row r="41">
      <c r="A41" s="4" t="s">
        <v>28</v>
      </c>
    </row>
    <row r="42">
      <c r="A42" s="4" t="s">
        <v>29</v>
      </c>
    </row>
    <row r="45">
      <c r="A45" s="3" t="s">
        <v>22</v>
      </c>
    </row>
    <row r="46">
      <c r="A46" s="4" t="s">
        <v>30</v>
      </c>
    </row>
    <row r="47">
      <c r="A47" s="4" t="s">
        <v>31</v>
      </c>
    </row>
    <row r="67">
      <c r="A67" s="4" t="s">
        <v>32</v>
      </c>
    </row>
    <row r="69">
      <c r="A69" s="4" t="s">
        <v>33</v>
      </c>
    </row>
    <row r="70">
      <c r="A70" s="4"/>
    </row>
    <row r="71">
      <c r="A71" s="4" t="s">
        <v>34</v>
      </c>
    </row>
    <row r="72">
      <c r="A72" s="4" t="s">
        <v>35</v>
      </c>
    </row>
    <row r="74">
      <c r="A74" s="3" t="s">
        <v>36</v>
      </c>
    </row>
    <row r="75">
      <c r="A75" s="4" t="s">
        <v>37</v>
      </c>
    </row>
    <row r="76">
      <c r="A76" s="4" t="s">
        <v>38</v>
      </c>
    </row>
    <row r="77">
      <c r="B77" s="4" t="s">
        <v>39</v>
      </c>
    </row>
    <row r="78">
      <c r="B78" s="4" t="s">
        <v>40</v>
      </c>
    </row>
    <row r="79">
      <c r="A79" s="4" t="s">
        <v>41</v>
      </c>
    </row>
    <row r="80">
      <c r="A80" s="4" t="s">
        <v>42</v>
      </c>
    </row>
    <row r="81">
      <c r="A81" s="4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52.63"/>
  </cols>
  <sheetData>
    <row r="4">
      <c r="A4" s="4">
        <v>1.0</v>
      </c>
      <c r="B4" s="4" t="s">
        <v>44</v>
      </c>
    </row>
    <row r="5">
      <c r="A5" s="4">
        <v>2.0</v>
      </c>
      <c r="B5" s="4" t="s">
        <v>45</v>
      </c>
    </row>
    <row r="6">
      <c r="B6" s="4" t="s">
        <v>46</v>
      </c>
    </row>
    <row r="7">
      <c r="B7" s="4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2.63"/>
    <col customWidth="1" min="3" max="3" width="7.75"/>
    <col customWidth="1" min="4" max="4" width="17.88"/>
    <col customWidth="1" min="5" max="5" width="24.88"/>
    <col customWidth="1" min="6" max="6" width="15.5"/>
    <col customWidth="1" min="7" max="7" width="11.13"/>
    <col customWidth="1" min="8" max="8" width="48.75"/>
  </cols>
  <sheetData>
    <row r="1">
      <c r="A1" s="6" t="s">
        <v>48</v>
      </c>
      <c r="B1" s="6" t="s">
        <v>49</v>
      </c>
      <c r="C1" s="7" t="s">
        <v>50</v>
      </c>
      <c r="D1" s="8" t="s">
        <v>51</v>
      </c>
      <c r="E1" s="7" t="s">
        <v>52</v>
      </c>
      <c r="F1" s="7" t="s">
        <v>53</v>
      </c>
      <c r="G1" s="7" t="s">
        <v>54</v>
      </c>
      <c r="H1" s="9" t="s">
        <v>55</v>
      </c>
    </row>
    <row r="2">
      <c r="A2" s="10">
        <v>1.0</v>
      </c>
      <c r="B2" s="11" t="s">
        <v>56</v>
      </c>
      <c r="C2" s="12"/>
      <c r="D2" s="13" t="s">
        <v>57</v>
      </c>
      <c r="E2" s="13" t="s">
        <v>58</v>
      </c>
      <c r="F2" s="14">
        <v>45999.0</v>
      </c>
      <c r="G2" s="15" t="s">
        <v>59</v>
      </c>
      <c r="H2" s="13" t="s">
        <v>60</v>
      </c>
    </row>
    <row r="3">
      <c r="A3" s="10">
        <v>2.0</v>
      </c>
      <c r="B3" s="11" t="s">
        <v>61</v>
      </c>
      <c r="C3" s="12"/>
      <c r="D3" s="13" t="s">
        <v>57</v>
      </c>
      <c r="E3" s="13" t="s">
        <v>58</v>
      </c>
      <c r="F3" s="14">
        <v>45999.0</v>
      </c>
      <c r="G3" s="15" t="s">
        <v>59</v>
      </c>
      <c r="H3" s="13" t="s">
        <v>60</v>
      </c>
    </row>
    <row r="4">
      <c r="A4" s="10">
        <v>3.0</v>
      </c>
      <c r="B4" s="15" t="s">
        <v>62</v>
      </c>
      <c r="C4" s="12"/>
      <c r="D4" s="13" t="s">
        <v>57</v>
      </c>
      <c r="E4" s="13" t="s">
        <v>63</v>
      </c>
      <c r="F4" s="15" t="s">
        <v>64</v>
      </c>
      <c r="G4" s="15" t="s">
        <v>59</v>
      </c>
      <c r="H4" s="13" t="s">
        <v>65</v>
      </c>
    </row>
    <row r="5">
      <c r="A5" s="10">
        <v>4.0</v>
      </c>
      <c r="B5" s="11" t="s">
        <v>66</v>
      </c>
      <c r="C5" s="12"/>
      <c r="D5" s="13" t="s">
        <v>67</v>
      </c>
      <c r="E5" s="13" t="s">
        <v>68</v>
      </c>
      <c r="F5" s="14">
        <v>45999.0</v>
      </c>
      <c r="G5" s="15" t="s">
        <v>59</v>
      </c>
      <c r="H5" s="13" t="s">
        <v>69</v>
      </c>
    </row>
    <row r="6">
      <c r="A6" s="10">
        <v>5.0</v>
      </c>
      <c r="B6" s="15" t="s">
        <v>70</v>
      </c>
      <c r="C6" s="15" t="s">
        <v>71</v>
      </c>
      <c r="D6" s="13" t="s">
        <v>72</v>
      </c>
      <c r="E6" s="13" t="s">
        <v>73</v>
      </c>
      <c r="F6" s="14">
        <v>46001.0</v>
      </c>
      <c r="G6" s="15" t="s">
        <v>59</v>
      </c>
      <c r="H6" s="13" t="s">
        <v>74</v>
      </c>
    </row>
    <row r="7">
      <c r="A7" s="10">
        <v>6.0</v>
      </c>
      <c r="B7" s="15" t="s">
        <v>75</v>
      </c>
      <c r="C7" s="15" t="s">
        <v>71</v>
      </c>
      <c r="D7" s="13" t="s">
        <v>72</v>
      </c>
      <c r="E7" s="13" t="s">
        <v>73</v>
      </c>
      <c r="F7" s="14">
        <v>46001.0</v>
      </c>
      <c r="G7" s="15" t="s">
        <v>59</v>
      </c>
      <c r="H7" s="13" t="s">
        <v>76</v>
      </c>
    </row>
    <row r="8">
      <c r="A8" s="10">
        <v>7.0</v>
      </c>
      <c r="B8" s="15" t="s">
        <v>77</v>
      </c>
      <c r="C8" s="15" t="s">
        <v>71</v>
      </c>
      <c r="D8" s="13" t="s">
        <v>78</v>
      </c>
      <c r="E8" s="13" t="s">
        <v>73</v>
      </c>
      <c r="F8" s="14">
        <v>46001.0</v>
      </c>
      <c r="G8" s="15" t="s">
        <v>59</v>
      </c>
      <c r="H8" s="13" t="s">
        <v>79</v>
      </c>
    </row>
    <row r="9">
      <c r="A9" s="10">
        <v>8.0</v>
      </c>
      <c r="B9" s="15" t="s">
        <v>80</v>
      </c>
      <c r="C9" s="12"/>
      <c r="D9" s="13" t="s">
        <v>78</v>
      </c>
      <c r="E9" s="13" t="s">
        <v>81</v>
      </c>
      <c r="F9" s="14">
        <v>46001.0</v>
      </c>
      <c r="G9" s="15" t="s">
        <v>59</v>
      </c>
      <c r="H9" s="13" t="s">
        <v>82</v>
      </c>
    </row>
    <row r="10">
      <c r="A10" s="10">
        <v>9.0</v>
      </c>
      <c r="B10" s="15" t="s">
        <v>83</v>
      </c>
      <c r="C10" s="12"/>
      <c r="D10" s="13" t="s">
        <v>78</v>
      </c>
      <c r="E10" s="13" t="s">
        <v>84</v>
      </c>
      <c r="F10" s="14">
        <v>45999.0</v>
      </c>
      <c r="G10" s="15" t="s">
        <v>59</v>
      </c>
      <c r="H10" s="13" t="s">
        <v>82</v>
      </c>
    </row>
    <row r="11">
      <c r="A11" s="10">
        <v>10.0</v>
      </c>
      <c r="B11" s="15" t="s">
        <v>85</v>
      </c>
      <c r="C11" s="12"/>
      <c r="D11" s="13" t="s">
        <v>57</v>
      </c>
      <c r="E11" s="16"/>
      <c r="F11" s="12"/>
      <c r="G11" s="15" t="s">
        <v>59</v>
      </c>
      <c r="H11" s="13" t="s">
        <v>82</v>
      </c>
    </row>
    <row r="12">
      <c r="A12" s="10">
        <v>11.0</v>
      </c>
      <c r="B12" s="15" t="s">
        <v>86</v>
      </c>
      <c r="C12" s="12"/>
      <c r="D12" s="13" t="s">
        <v>78</v>
      </c>
      <c r="E12" s="13" t="s">
        <v>81</v>
      </c>
      <c r="F12" s="14">
        <v>46001.0</v>
      </c>
      <c r="G12" s="15" t="s">
        <v>59</v>
      </c>
      <c r="H12" s="13" t="s">
        <v>82</v>
      </c>
    </row>
    <row r="13">
      <c r="A13" s="10">
        <v>12.0</v>
      </c>
      <c r="B13" s="11" t="s">
        <v>87</v>
      </c>
      <c r="C13" s="12"/>
      <c r="D13" s="13" t="s">
        <v>57</v>
      </c>
      <c r="E13" s="13" t="s">
        <v>58</v>
      </c>
      <c r="F13" s="14">
        <v>45999.0</v>
      </c>
      <c r="G13" s="15" t="s">
        <v>59</v>
      </c>
      <c r="H13" s="13" t="s">
        <v>88</v>
      </c>
    </row>
    <row r="14">
      <c r="A14" s="10">
        <v>13.0</v>
      </c>
      <c r="B14" s="11" t="s">
        <v>89</v>
      </c>
      <c r="C14" s="12"/>
      <c r="D14" s="13" t="s">
        <v>57</v>
      </c>
      <c r="E14" s="13" t="s">
        <v>58</v>
      </c>
      <c r="F14" s="14">
        <v>45999.0</v>
      </c>
      <c r="G14" s="15" t="s">
        <v>59</v>
      </c>
      <c r="H14" s="13" t="s">
        <v>88</v>
      </c>
    </row>
    <row r="15">
      <c r="A15" s="10">
        <v>14.0</v>
      </c>
      <c r="B15" s="15" t="s">
        <v>90</v>
      </c>
      <c r="C15" s="12"/>
      <c r="D15" s="13" t="s">
        <v>91</v>
      </c>
      <c r="E15" s="13" t="s">
        <v>84</v>
      </c>
      <c r="F15" s="14">
        <v>46004.0</v>
      </c>
      <c r="G15" s="15" t="s">
        <v>59</v>
      </c>
      <c r="H15" s="13" t="s">
        <v>82</v>
      </c>
    </row>
    <row r="16">
      <c r="A16" s="10">
        <v>15.0</v>
      </c>
      <c r="B16" s="11" t="s">
        <v>92</v>
      </c>
      <c r="C16" s="12"/>
      <c r="D16" s="13" t="s">
        <v>57</v>
      </c>
      <c r="E16" s="13" t="s">
        <v>58</v>
      </c>
      <c r="F16" s="14">
        <v>45999.0</v>
      </c>
      <c r="G16" s="15" t="s">
        <v>59</v>
      </c>
      <c r="H16" s="13" t="s">
        <v>88</v>
      </c>
    </row>
    <row r="17">
      <c r="A17" s="17">
        <v>16.0</v>
      </c>
      <c r="B17" s="18" t="s">
        <v>93</v>
      </c>
      <c r="C17" s="12"/>
      <c r="D17" s="13" t="s">
        <v>57</v>
      </c>
      <c r="E17" s="13" t="s">
        <v>58</v>
      </c>
      <c r="F17" s="14">
        <v>45999.0</v>
      </c>
      <c r="G17" s="15" t="s">
        <v>59</v>
      </c>
      <c r="H17" s="13" t="s">
        <v>88</v>
      </c>
    </row>
    <row r="19">
      <c r="B19" s="3" t="s">
        <v>94</v>
      </c>
    </row>
    <row r="20">
      <c r="A20" s="4">
        <v>1.0</v>
      </c>
      <c r="B20" s="4" t="s">
        <v>95</v>
      </c>
    </row>
    <row r="21">
      <c r="A21" s="4">
        <v>2.0</v>
      </c>
      <c r="B21" s="19" t="s">
        <v>96</v>
      </c>
    </row>
    <row r="22">
      <c r="A22" s="4">
        <v>3.0</v>
      </c>
      <c r="B22" s="20" t="s">
        <v>83</v>
      </c>
    </row>
    <row r="23">
      <c r="A23" s="4">
        <v>4.0</v>
      </c>
      <c r="B23" s="20" t="s">
        <v>90</v>
      </c>
    </row>
    <row r="24">
      <c r="A24" s="4"/>
      <c r="B24" s="20"/>
    </row>
    <row r="25">
      <c r="A25" s="4"/>
      <c r="B25" s="20"/>
    </row>
    <row r="26">
      <c r="B26" s="3" t="s">
        <v>97</v>
      </c>
    </row>
    <row r="27">
      <c r="A27" s="4">
        <v>1.0</v>
      </c>
      <c r="B27" s="4" t="s">
        <v>98</v>
      </c>
    </row>
    <row r="28">
      <c r="A28" s="4">
        <v>2.0</v>
      </c>
      <c r="B28" s="4" t="s">
        <v>99</v>
      </c>
    </row>
    <row r="29">
      <c r="A29" s="4">
        <v>3.0</v>
      </c>
      <c r="B29" s="4" t="s">
        <v>100</v>
      </c>
    </row>
    <row r="30">
      <c r="A30" s="4">
        <v>4.0</v>
      </c>
      <c r="B30" s="4" t="s">
        <v>101</v>
      </c>
    </row>
    <row r="31">
      <c r="A31" s="4">
        <v>5.0</v>
      </c>
      <c r="B31" s="4" t="s">
        <v>102</v>
      </c>
    </row>
    <row r="32">
      <c r="A32" s="4">
        <v>6.0</v>
      </c>
      <c r="B32" s="4" t="s">
        <v>103</v>
      </c>
    </row>
    <row r="33">
      <c r="A33" s="4">
        <v>7.0</v>
      </c>
      <c r="B33" s="4" t="s">
        <v>104</v>
      </c>
    </row>
    <row r="34">
      <c r="A34" s="4">
        <v>8.0</v>
      </c>
      <c r="B34" s="4" t="s">
        <v>105</v>
      </c>
    </row>
    <row r="37">
      <c r="B37" s="3" t="s">
        <v>53</v>
      </c>
    </row>
    <row r="38">
      <c r="B38" s="4" t="s">
        <v>106</v>
      </c>
      <c r="C38" s="4" t="s">
        <v>107</v>
      </c>
    </row>
    <row r="39">
      <c r="B39" s="4" t="s">
        <v>108</v>
      </c>
      <c r="C39" s="4" t="s">
        <v>109</v>
      </c>
    </row>
    <row r="40">
      <c r="B40" s="4" t="s">
        <v>110</v>
      </c>
      <c r="C40" s="20" t="s">
        <v>90</v>
      </c>
    </row>
    <row r="41">
      <c r="B41" s="4" t="s">
        <v>111</v>
      </c>
      <c r="C41" s="4" t="s">
        <v>112</v>
      </c>
    </row>
    <row r="42">
      <c r="B42" s="4" t="s">
        <v>113</v>
      </c>
      <c r="C42" s="4" t="s">
        <v>114</v>
      </c>
    </row>
    <row r="43">
      <c r="B43" s="4" t="s">
        <v>115</v>
      </c>
      <c r="C43" s="4" t="s">
        <v>66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</cols>
  <sheetData>
    <row r="2"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</row>
    <row r="3">
      <c r="B3" s="4" t="s">
        <v>121</v>
      </c>
      <c r="C3" s="4">
        <v>18.0</v>
      </c>
      <c r="D3" s="21">
        <v>250000.0</v>
      </c>
      <c r="E3" s="4">
        <v>0.5</v>
      </c>
      <c r="F3" s="22">
        <f t="shared" ref="F3:F7" si="1">(C3*D3*E3)</f>
        <v>2250000</v>
      </c>
    </row>
    <row r="4">
      <c r="B4" s="4" t="s">
        <v>122</v>
      </c>
      <c r="C4" s="4">
        <v>12.0</v>
      </c>
      <c r="D4" s="4">
        <v>400000.0</v>
      </c>
      <c r="E4" s="4">
        <v>1.0</v>
      </c>
      <c r="F4" s="22">
        <f t="shared" si="1"/>
        <v>4800000</v>
      </c>
    </row>
    <row r="5">
      <c r="B5" s="4" t="s">
        <v>123</v>
      </c>
      <c r="C5" s="4">
        <v>18.0</v>
      </c>
      <c r="D5" s="4">
        <v>200000.0</v>
      </c>
      <c r="E5" s="4">
        <v>2.0</v>
      </c>
      <c r="F5" s="22">
        <f t="shared" si="1"/>
        <v>7200000</v>
      </c>
    </row>
    <row r="6">
      <c r="B6" s="4" t="s">
        <v>124</v>
      </c>
      <c r="C6" s="4">
        <v>16.0</v>
      </c>
      <c r="D6" s="4">
        <v>200000.0</v>
      </c>
      <c r="E6" s="4">
        <v>1.0</v>
      </c>
      <c r="F6" s="22">
        <f t="shared" si="1"/>
        <v>3200000</v>
      </c>
    </row>
    <row r="7">
      <c r="B7" s="4" t="s">
        <v>125</v>
      </c>
      <c r="C7" s="4">
        <v>12.0</v>
      </c>
      <c r="D7" s="4">
        <v>200000.0</v>
      </c>
      <c r="E7" s="4">
        <v>1.0</v>
      </c>
      <c r="F7" s="22">
        <f t="shared" si="1"/>
        <v>2400000</v>
      </c>
    </row>
    <row r="10">
      <c r="A10" s="4" t="s">
        <v>126</v>
      </c>
    </row>
    <row r="11">
      <c r="B11" s="4" t="s">
        <v>127</v>
      </c>
      <c r="F11" s="4">
        <v>2100000.0</v>
      </c>
    </row>
    <row r="12">
      <c r="B12" s="4" t="s">
        <v>128</v>
      </c>
    </row>
    <row r="13">
      <c r="F13" s="22">
        <f>sum(F3:F11)</f>
        <v>21950000</v>
      </c>
    </row>
    <row r="14">
      <c r="E14" s="4" t="s">
        <v>129</v>
      </c>
      <c r="F14" s="22">
        <f>F13*0.05</f>
        <v>1097500</v>
      </c>
    </row>
    <row r="15">
      <c r="F15" s="22">
        <f>SUM(F13:F14)</f>
        <v>23047500</v>
      </c>
    </row>
    <row r="16">
      <c r="F16" s="22">
        <f>F15*1.5</f>
        <v>34571250</v>
      </c>
    </row>
  </sheetData>
  <drawing r:id="rId1"/>
</worksheet>
</file>